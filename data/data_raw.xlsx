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Bootcamp\6_Projects\Proj5\"/>
    </mc:Choice>
  </mc:AlternateContent>
  <xr:revisionPtr revIDLastSave="0" documentId="8_{CC1FC941-ED17-4A22-A504-9B5EC390478B}" xr6:coauthVersionLast="47" xr6:coauthVersionMax="47" xr10:uidLastSave="{00000000-0000-0000-0000-000000000000}"/>
  <bookViews>
    <workbookView xWindow="10716" yWindow="0" windowWidth="12384" windowHeight="12336" xr2:uid="{135B64BA-8E2C-4F42-A65B-386A4D268F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4" i="1"/>
  <c r="N5" i="1"/>
  <c r="N6" i="1"/>
  <c r="N7" i="1"/>
  <c r="N8" i="1"/>
  <c r="N4" i="1"/>
  <c r="L8" i="1"/>
  <c r="L7" i="1"/>
  <c r="L6" i="1"/>
  <c r="L4" i="1"/>
  <c r="M7" i="1"/>
  <c r="M8" i="1"/>
  <c r="M6" i="1"/>
  <c r="M4" i="1"/>
  <c r="M5" i="1"/>
  <c r="O5" i="1" s="1"/>
  <c r="O6" i="1"/>
  <c r="O7" i="1"/>
  <c r="O8" i="1"/>
  <c r="O4" i="1"/>
  <c r="L5" i="1"/>
  <c r="K5" i="1"/>
  <c r="K6" i="1"/>
  <c r="K7" i="1"/>
  <c r="K8" i="1"/>
  <c r="K4" i="1"/>
  <c r="E8" i="1"/>
</calcChain>
</file>

<file path=xl/sharedStrings.xml><?xml version="1.0" encoding="utf-8"?>
<sst xmlns="http://schemas.openxmlformats.org/spreadsheetml/2006/main" count="49" uniqueCount="39">
  <si>
    <t>If problem, within a month</t>
  </si>
  <si>
    <t>Problem within a month</t>
  </si>
  <si>
    <t>If problem, covered by guarantee?</t>
  </si>
  <si>
    <t>Problem within a year</t>
  </si>
  <si>
    <t>Average problem cost (2014)</t>
  </si>
  <si>
    <t>https://commission.europa.eu/publications/study-second-hand-cars-market_en</t>
  </si>
  <si>
    <t>Adjusted for inflation (EU 30% 2014-2026)</t>
  </si>
  <si>
    <t>Unfair commercial practices</t>
  </si>
  <si>
    <t>Proportion of cars bought from dealers</t>
  </si>
  <si>
    <t>Proportion of cars bought from privateers</t>
  </si>
  <si>
    <t>Trust in dealers</t>
  </si>
  <si>
    <t>Trust in independent</t>
  </si>
  <si>
    <t>Trust in auctions</t>
  </si>
  <si>
    <t>Knowledge about cars</t>
  </si>
  <si>
    <t>Knowledge about info that traders are obliged to present</t>
  </si>
  <si>
    <t>Proportion of cars sold in each age window</t>
  </si>
  <si>
    <t>France</t>
  </si>
  <si>
    <t>Germany</t>
  </si>
  <si>
    <t>Italy</t>
  </si>
  <si>
    <t>Spain</t>
  </si>
  <si>
    <t>A review of the used car market in the European Union</t>
  </si>
  <si>
    <t>ChatGPT</t>
  </si>
  <si>
    <t>Western Europe</t>
  </si>
  <si>
    <t>Dealerships (franchises and independent)</t>
  </si>
  <si>
    <t>Private</t>
  </si>
  <si>
    <t>Auctions</t>
  </si>
  <si>
    <t>https://www.best-selling-cars.com/europe/2025-full-year-europe-car-sales-per-eu-uk-and-efta-country/?utm_source=chatgpt.com</t>
  </si>
  <si>
    <t>UK</t>
  </si>
  <si>
    <t>Sales NEW 2025 (millions)</t>
  </si>
  <si>
    <t>NA</t>
  </si>
  <si>
    <t>Sales used UK</t>
  </si>
  <si>
    <t>Country</t>
  </si>
  <si>
    <t>Used/Total</t>
  </si>
  <si>
    <t>Proportion NEW vs TOTAL sales</t>
  </si>
  <si>
    <t>Total</t>
  </si>
  <si>
    <t>Used</t>
  </si>
  <si>
    <t>New</t>
  </si>
  <si>
    <t>New/Total</t>
  </si>
  <si>
    <t>Used/New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</si>
</sst>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2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DF64-4122-45AA-88E7-B47BA8DCDD15}">
  <dimension ref="A1:P34"/>
  <sheetViews>
    <sheetView tabSelected="1" topLeftCell="G1" workbookViewId="0">
      <selection activeCell="M4" sqref="M4"/>
    </sheetView>
  </sheetViews>
  <sheetFormatPr baseColWidth="10" defaultRowHeight="14.4" x14ac:dyDescent="0.3"/>
  <cols>
    <col min="1" max="1" width="34.5546875" bestFit="1" customWidth="1"/>
    <col min="2" max="2" width="5" bestFit="1" customWidth="1"/>
    <col min="4" max="4" width="45.77734375" customWidth="1"/>
    <col min="5" max="5" width="6" bestFit="1" customWidth="1"/>
    <col min="7" max="7" width="44" bestFit="1" customWidth="1"/>
    <col min="8" max="8" width="5" bestFit="1" customWidth="1"/>
    <col min="10" max="10" width="10.88671875" customWidth="1"/>
    <col min="11" max="15" width="10.77734375" customWidth="1"/>
  </cols>
  <sheetData>
    <row r="1" spans="1:16" x14ac:dyDescent="0.3">
      <c r="A1" t="s">
        <v>21</v>
      </c>
      <c r="D1" s="1" t="s">
        <v>5</v>
      </c>
      <c r="G1" t="s">
        <v>26</v>
      </c>
    </row>
    <row r="3" spans="1:16" x14ac:dyDescent="0.3">
      <c r="A3" t="s">
        <v>22</v>
      </c>
      <c r="D3" t="s">
        <v>13</v>
      </c>
      <c r="E3">
        <v>0.32</v>
      </c>
      <c r="G3" t="s">
        <v>28</v>
      </c>
      <c r="J3" t="s">
        <v>31</v>
      </c>
      <c r="K3" t="s">
        <v>36</v>
      </c>
      <c r="L3" t="s">
        <v>35</v>
      </c>
      <c r="M3" t="s">
        <v>34</v>
      </c>
      <c r="N3" t="s">
        <v>32</v>
      </c>
      <c r="O3" t="s">
        <v>37</v>
      </c>
      <c r="P3" t="s">
        <v>38</v>
      </c>
    </row>
    <row r="4" spans="1:16" x14ac:dyDescent="0.3">
      <c r="A4" t="s">
        <v>23</v>
      </c>
      <c r="B4">
        <v>0.6</v>
      </c>
      <c r="D4" t="s">
        <v>14</v>
      </c>
      <c r="E4">
        <v>0.28999999999999998</v>
      </c>
      <c r="G4" t="s">
        <v>17</v>
      </c>
      <c r="H4">
        <v>2.82</v>
      </c>
      <c r="J4" t="s">
        <v>17</v>
      </c>
      <c r="K4">
        <f>H4</f>
        <v>2.82</v>
      </c>
      <c r="L4" s="2">
        <f>M4-K4</f>
        <v>5.4741176470588222</v>
      </c>
      <c r="M4" s="2">
        <f>K4/O4</f>
        <v>8.2941176470588225</v>
      </c>
      <c r="N4" s="2">
        <f>L4/M4</f>
        <v>0.65999999999999992</v>
      </c>
      <c r="O4" s="2">
        <f>H14</f>
        <v>0.34</v>
      </c>
      <c r="P4" s="2">
        <f>L4/K4</f>
        <v>1.9411764705882348</v>
      </c>
    </row>
    <row r="5" spans="1:16" x14ac:dyDescent="0.3">
      <c r="A5" t="s">
        <v>24</v>
      </c>
      <c r="B5">
        <v>0.35</v>
      </c>
      <c r="G5" t="s">
        <v>27</v>
      </c>
      <c r="H5">
        <v>2</v>
      </c>
      <c r="J5" t="s">
        <v>27</v>
      </c>
      <c r="K5">
        <f t="shared" ref="K5:K8" si="0">H5</f>
        <v>2</v>
      </c>
      <c r="L5">
        <f>H21</f>
        <v>7.64</v>
      </c>
      <c r="M5" s="2">
        <f>K5+L5</f>
        <v>9.64</v>
      </c>
      <c r="N5" s="2">
        <f t="shared" ref="N5:N8" si="1">L5/M5</f>
        <v>0.79253112033195017</v>
      </c>
      <c r="O5" s="2">
        <f>K5/M5</f>
        <v>0.20746887966804978</v>
      </c>
      <c r="P5" s="2">
        <f t="shared" ref="P5:P8" si="2">L5/K5</f>
        <v>3.82</v>
      </c>
    </row>
    <row r="6" spans="1:16" x14ac:dyDescent="0.3">
      <c r="A6" t="s">
        <v>25</v>
      </c>
      <c r="B6">
        <v>5</v>
      </c>
      <c r="D6" t="s">
        <v>3</v>
      </c>
      <c r="E6">
        <v>0.41</v>
      </c>
      <c r="G6" t="s">
        <v>16</v>
      </c>
      <c r="H6">
        <v>1.72</v>
      </c>
      <c r="J6" t="s">
        <v>16</v>
      </c>
      <c r="K6">
        <f t="shared" si="0"/>
        <v>1.72</v>
      </c>
      <c r="L6" s="2">
        <f t="shared" ref="L6:L8" si="3">M6-K6</f>
        <v>4.8953846153846152</v>
      </c>
      <c r="M6" s="2">
        <f>K6/O6</f>
        <v>6.615384615384615</v>
      </c>
      <c r="N6" s="2">
        <f t="shared" si="1"/>
        <v>0.74</v>
      </c>
      <c r="O6" s="2">
        <f>H16</f>
        <v>0.26</v>
      </c>
      <c r="P6" s="2">
        <f t="shared" si="2"/>
        <v>2.8461538461538463</v>
      </c>
    </row>
    <row r="7" spans="1:16" x14ac:dyDescent="0.3">
      <c r="D7" t="s">
        <v>0</v>
      </c>
      <c r="E7">
        <v>0.4</v>
      </c>
      <c r="G7" t="s">
        <v>18</v>
      </c>
      <c r="H7">
        <v>1.56</v>
      </c>
      <c r="J7" t="s">
        <v>18</v>
      </c>
      <c r="K7">
        <f t="shared" si="0"/>
        <v>1.56</v>
      </c>
      <c r="L7" s="2">
        <f t="shared" si="3"/>
        <v>2.6562162162162166</v>
      </c>
      <c r="M7" s="2">
        <f t="shared" ref="M7:M8" si="4">K7/O7</f>
        <v>4.2162162162162167</v>
      </c>
      <c r="N7" s="2">
        <f t="shared" si="1"/>
        <v>0.63</v>
      </c>
      <c r="O7" s="2">
        <f>H17</f>
        <v>0.37</v>
      </c>
      <c r="P7" s="2">
        <f t="shared" si="2"/>
        <v>1.7027027027027029</v>
      </c>
    </row>
    <row r="8" spans="1:16" x14ac:dyDescent="0.3">
      <c r="D8" t="s">
        <v>1</v>
      </c>
      <c r="E8">
        <f>E6*E7</f>
        <v>0.16400000000000001</v>
      </c>
      <c r="G8" t="s">
        <v>19</v>
      </c>
      <c r="H8">
        <v>1.1000000000000001</v>
      </c>
      <c r="J8" t="s">
        <v>19</v>
      </c>
      <c r="K8">
        <f t="shared" si="0"/>
        <v>1.1000000000000001</v>
      </c>
      <c r="L8" s="2">
        <f>M8-K8</f>
        <v>2.4483870967741939</v>
      </c>
      <c r="M8" s="2">
        <f t="shared" si="4"/>
        <v>3.5483870967741939</v>
      </c>
      <c r="N8" s="2">
        <f t="shared" si="1"/>
        <v>0.69000000000000006</v>
      </c>
      <c r="O8" s="2">
        <f>H18</f>
        <v>0.31</v>
      </c>
      <c r="P8" s="2">
        <f t="shared" si="2"/>
        <v>2.2258064516129035</v>
      </c>
    </row>
    <row r="9" spans="1:16" x14ac:dyDescent="0.3">
      <c r="D9" t="s">
        <v>2</v>
      </c>
      <c r="E9">
        <v>0.27</v>
      </c>
    </row>
    <row r="11" spans="1:16" x14ac:dyDescent="0.3">
      <c r="D11" t="s">
        <v>7</v>
      </c>
      <c r="E11">
        <v>0.25</v>
      </c>
      <c r="G11" t="s">
        <v>20</v>
      </c>
    </row>
    <row r="13" spans="1:16" x14ac:dyDescent="0.3">
      <c r="D13" t="s">
        <v>4</v>
      </c>
      <c r="E13">
        <v>518</v>
      </c>
      <c r="G13" t="s">
        <v>33</v>
      </c>
    </row>
    <row r="14" spans="1:16" x14ac:dyDescent="0.3">
      <c r="D14" t="s">
        <v>6</v>
      </c>
      <c r="E14">
        <v>675</v>
      </c>
      <c r="G14" t="s">
        <v>17</v>
      </c>
      <c r="H14">
        <v>0.34</v>
      </c>
    </row>
    <row r="15" spans="1:16" x14ac:dyDescent="0.3">
      <c r="G15" t="s">
        <v>27</v>
      </c>
      <c r="H15" t="s">
        <v>29</v>
      </c>
    </row>
    <row r="16" spans="1:16" x14ac:dyDescent="0.3">
      <c r="D16" t="s">
        <v>10</v>
      </c>
      <c r="E16">
        <v>0.73</v>
      </c>
      <c r="G16" t="s">
        <v>16</v>
      </c>
      <c r="H16">
        <v>0.26</v>
      </c>
    </row>
    <row r="17" spans="4:8" x14ac:dyDescent="0.3">
      <c r="D17" t="s">
        <v>11</v>
      </c>
      <c r="E17">
        <v>0.64</v>
      </c>
      <c r="G17" t="s">
        <v>18</v>
      </c>
      <c r="H17">
        <v>0.37</v>
      </c>
    </row>
    <row r="18" spans="4:8" x14ac:dyDescent="0.3">
      <c r="D18" t="s">
        <v>12</v>
      </c>
      <c r="E18">
        <v>0.46</v>
      </c>
      <c r="G18" t="s">
        <v>19</v>
      </c>
      <c r="H18">
        <v>0.31</v>
      </c>
    </row>
    <row r="21" spans="4:8" x14ac:dyDescent="0.3">
      <c r="G21" t="s">
        <v>30</v>
      </c>
      <c r="H21">
        <v>7.64</v>
      </c>
    </row>
    <row r="32" spans="4:8" x14ac:dyDescent="0.3">
      <c r="D32" t="s">
        <v>15</v>
      </c>
    </row>
    <row r="33" spans="4:4" x14ac:dyDescent="0.3">
      <c r="D33" t="s">
        <v>8</v>
      </c>
    </row>
    <row r="34" spans="4:4" x14ac:dyDescent="0.3">
      <c r="D3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Martínez Boto</dc:creator>
  <cp:lastModifiedBy>Carlos Martínez Boto</cp:lastModifiedBy>
  <dcterms:created xsi:type="dcterms:W3CDTF">2026-06-05T09:14:58Z</dcterms:created>
  <dcterms:modified xsi:type="dcterms:W3CDTF">2026-06-05T14:54:01Z</dcterms:modified>
</cp:coreProperties>
</file>